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/Desktop/edid/"/>
    </mc:Choice>
  </mc:AlternateContent>
  <xr:revisionPtr revIDLastSave="0" documentId="13_ncr:1_{BA68B5E7-928D-2A44-A406-EAD8B37D0F46}" xr6:coauthVersionLast="47" xr6:coauthVersionMax="47" xr10:uidLastSave="{00000000-0000-0000-0000-000000000000}"/>
  <bookViews>
    <workbookView xWindow="140" yWindow="1800" windowWidth="33780" windowHeight="18180" xr2:uid="{DE808AFE-8AFE-4111-8161-9EF8B03B2A2C}"/>
  </bookViews>
  <sheets>
    <sheet name="VSVDB Payload Calculator" sheetId="17" r:id="rId1"/>
  </sheets>
  <functionGroups builtInGroupCount="19"/>
  <definedNames>
    <definedName name="HDR10Plus">'VSVDB Payload Calculator'!$J$2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7" l="1"/>
  <c r="L7" i="17" s="1"/>
  <c r="S6" i="17"/>
  <c r="S7" i="17" s="1"/>
  <c r="R6" i="17"/>
  <c r="R7" i="17" s="1"/>
  <c r="Q6" i="17"/>
  <c r="Q7" i="17" s="1"/>
  <c r="P6" i="17"/>
  <c r="P7" i="17" s="1"/>
  <c r="N6" i="17"/>
  <c r="N7" i="17" s="1"/>
  <c r="O7" i="17"/>
  <c r="M7" i="17"/>
  <c r="K7" i="17"/>
  <c r="H7" i="17"/>
  <c r="G7" i="17"/>
  <c r="E7" i="17"/>
  <c r="D7" i="17"/>
  <c r="U11" i="17" a="1"/>
  <c r="U16" i="17" a="1"/>
  <c r="U21" i="17" a="1"/>
  <c r="U26" i="17" a="1"/>
  <c r="U31" i="17" a="1"/>
  <c r="U36" i="17" a="1"/>
  <c r="U18" i="17" a="1"/>
  <c r="U33" i="17" a="1"/>
  <c r="U24" i="17" a="1"/>
  <c r="U29" i="17" a="1"/>
  <c r="U34" i="17" a="1"/>
  <c r="U15" i="17" a="1"/>
  <c r="U30" i="17" a="1"/>
  <c r="U23" i="17" a="1"/>
  <c r="U12" i="17" a="1"/>
  <c r="U17" i="17" a="1"/>
  <c r="U22" i="17" a="1"/>
  <c r="U27" i="17" a="1"/>
  <c r="U32" i="17" a="1"/>
  <c r="U37" i="17" a="1"/>
  <c r="U28" i="17" a="1"/>
  <c r="U38" i="17" a="1"/>
  <c r="U20" i="17" a="1"/>
  <c r="U35" i="17" a="1"/>
  <c r="U13" i="17" a="1"/>
  <c r="U14" i="17" a="1"/>
  <c r="U19" i="17" a="1"/>
  <c r="U39" i="17" a="1"/>
  <c r="U25" i="17" a="1"/>
  <c r="U40" i="17" a="1"/>
  <c r="U40" i="17" l="1"/>
  <c r="U25" i="17"/>
  <c r="U39" i="17"/>
  <c r="U19" i="17"/>
  <c r="U14" i="17"/>
  <c r="U13" i="17"/>
  <c r="U35" i="17"/>
  <c r="U20" i="17"/>
  <c r="U38" i="17"/>
  <c r="U28" i="17"/>
  <c r="U37" i="17"/>
  <c r="U32" i="17"/>
  <c r="U27" i="17"/>
  <c r="U22" i="17"/>
  <c r="U17" i="17"/>
  <c r="U12" i="17"/>
  <c r="U23" i="17"/>
  <c r="U30" i="17"/>
  <c r="U15" i="17"/>
  <c r="U34" i="17"/>
  <c r="U29" i="17"/>
  <c r="U24" i="17"/>
  <c r="U33" i="17"/>
  <c r="U18" i="17"/>
  <c r="U36" i="17"/>
  <c r="U31" i="17"/>
  <c r="U26" i="17"/>
  <c r="U21" i="17"/>
  <c r="U16" i="17"/>
  <c r="U11" i="17"/>
  <c r="B4" i="17"/>
  <c r="P4" i="17"/>
  <c r="N4" i="17"/>
  <c r="L4" i="17"/>
  <c r="R4" i="17"/>
  <c r="X13" i="17" a="1"/>
  <c r="X31" i="17" a="1"/>
  <c r="X27" i="17" a="1"/>
  <c r="X32" i="17" a="1"/>
  <c r="X38" i="17" a="1"/>
  <c r="X11" i="17" a="1"/>
  <c r="X14" i="17" a="1"/>
  <c r="X20" i="17" a="1"/>
  <c r="X18" i="17" a="1"/>
  <c r="X15" i="17" a="1"/>
  <c r="X23" i="17" a="1"/>
  <c r="X19" i="17" a="1"/>
  <c r="X17" i="17" a="1"/>
  <c r="X36" i="17" a="1"/>
  <c r="X33" i="17" a="1"/>
  <c r="X25" i="17" a="1"/>
  <c r="X26" i="17" a="1"/>
  <c r="X34" i="17" a="1"/>
  <c r="X12" i="17" a="1"/>
  <c r="X39" i="17" a="1"/>
  <c r="X29" i="17" a="1"/>
  <c r="X24" i="17" a="1"/>
  <c r="X30" i="17" a="1"/>
  <c r="X35" i="17" a="1"/>
  <c r="X22" i="17" a="1"/>
  <c r="X28" i="17" a="1"/>
  <c r="X40" i="17" a="1"/>
  <c r="X37" i="17" a="1"/>
  <c r="X21" i="17" a="1"/>
  <c r="X16" i="17" a="1"/>
  <c r="V25" i="17" l="1"/>
  <c r="V34" i="17"/>
  <c r="X40" i="17"/>
  <c r="X17" i="17"/>
  <c r="X24" i="17"/>
  <c r="V14" i="17"/>
  <c r="X28" i="17"/>
  <c r="X34" i="17"/>
  <c r="X30" i="17"/>
  <c r="X29" i="17"/>
  <c r="X38" i="17"/>
  <c r="V26" i="17"/>
  <c r="V24" i="17"/>
  <c r="X23" i="17"/>
  <c r="X13" i="17"/>
  <c r="X14" i="17"/>
  <c r="X32" i="17"/>
  <c r="X16" i="17"/>
  <c r="V29" i="17"/>
  <c r="V13" i="17"/>
  <c r="V38" i="17"/>
  <c r="X37" i="17"/>
  <c r="V23" i="17"/>
  <c r="V39" i="17"/>
  <c r="V32" i="17"/>
  <c r="X27" i="17"/>
  <c r="V28" i="17"/>
  <c r="V19" i="17"/>
  <c r="X26" i="17"/>
  <c r="V20" i="17"/>
  <c r="X18" i="17"/>
  <c r="X21" i="17"/>
  <c r="X35" i="17"/>
  <c r="V35" i="17"/>
  <c r="V15" i="17"/>
  <c r="V36" i="17"/>
  <c r="X19" i="17"/>
  <c r="X22" i="17"/>
  <c r="V40" i="17"/>
  <c r="V27" i="17"/>
  <c r="X36" i="17"/>
  <c r="V12" i="17"/>
  <c r="V18" i="17"/>
  <c r="X39" i="17"/>
  <c r="V31" i="17"/>
  <c r="X15" i="17"/>
  <c r="V33" i="17"/>
  <c r="X11" i="17"/>
  <c r="V21" i="17"/>
  <c r="X20" i="17"/>
  <c r="X12" i="17"/>
  <c r="V11" i="17"/>
  <c r="X31" i="17"/>
  <c r="X33" i="17"/>
  <c r="V37" i="17"/>
  <c r="V17" i="17"/>
  <c r="X25" i="17"/>
  <c r="V30" i="17"/>
  <c r="V22" i="17"/>
  <c r="V16" i="17"/>
  <c r="F7" i="17" l="1"/>
  <c r="F4" i="17" s="1"/>
  <c r="I7" i="17"/>
  <c r="I4" i="17" s="1"/>
  <c r="F9" i="1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<sst xmlns="http://schemas.openxmlformats.org/spreadsheetml/2006/main" count="74" uniqueCount="62">
  <si>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</si>
  <si>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</si>
  <si>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</si>
  <si>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</si>
  <si>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</si>
  <si>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</si>
  <si>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</si>
  <si>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</si>
  <si>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</si>
  <si>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</si>
  <si>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</si>
  <si>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</si>
  <si>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</si>
  <si>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</si>
  <si>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</si>
  <si>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</si>
  <si>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</si>
  <si>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</si>
  <si>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75 nits</t>
  </si>
  <si>
    <t>100 nits</t>
  </si>
  <si>
    <t>10</t>
  </si>
  <si>
    <t>11</t>
  </si>
  <si>
    <t>Disabled</t>
  </si>
  <si>
    <t>Color Space: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</si>
  <si>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</si>
  <si>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</si>
  <si>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</si>
  <si>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</si>
  <si>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</si>
  <si>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</si>
  <si>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</si>
  <si>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</si>
  <si>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</si>
  <si>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</si>
  <si>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</si>
  <si>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</si>
  <si>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</si>
  <si>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</si>
  <si>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</si>
  <si>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</si>
  <si>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</si>
  <si>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</si>
  <si>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</si>
  <si>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</si>
  <si>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</si>
  <si>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</si>
  <si>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</si>
  <si>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</si>
  <si>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</si>
  <si>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</si>
  <si>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</si>
  <si>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</si>
  <si>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</si>
  <si>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MaxL nits</t>
  </si>
  <si>
    <t>MinL nits</t>
  </si>
  <si>
    <t>LS12000 Native</t>
  </si>
  <si>
    <t>m0j0</t>
  </si>
  <si>
    <t>MaxL (dec)</t>
  </si>
  <si>
    <t>MinL (dec)</t>
  </si>
  <si>
    <t>MaxL nits (int)</t>
  </si>
  <si>
    <t>Based on Excels from: https://github.com/xnappo/ez_dv_edid_fw/archive/refs/heads/main.zip</t>
  </si>
  <si>
    <t>Dolby VSVDB (V2) Payload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</si>
</sst>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5"/>
      <color rgb="FF393A34"/>
      <name val="Consolas"/>
      <family val="2"/>
    </font>
    <font>
      <sz val="18"/>
      <color rgb="FFFF0000"/>
      <name val="Consolas"/>
      <family val="3"/>
    </font>
    <font>
      <b/>
      <sz val="16"/>
      <name val="Consolas"/>
      <family val="2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2" xfId="0" quotePrefix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2" borderId="9" xfId="0" quotePrefix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17" xfId="0" applyFont="1" applyFill="1" applyBorder="1"/>
    <xf numFmtId="0" fontId="0" fillId="0" borderId="14" xfId="0" applyBorder="1" applyAlignment="1" applyProtection="1">
      <alignment horizontal="center"/>
      <protection locked="0"/>
    </xf>
    <xf numFmtId="0" fontId="0" fillId="0" borderId="18" xfId="0" applyBorder="1" applyProtection="1">
      <protection locked="0"/>
    </xf>
    <xf numFmtId="49" fontId="0" fillId="0" borderId="0" xfId="0" applyNumberFormat="1"/>
    <xf numFmtId="0" fontId="1" fillId="0" borderId="0" xfId="0" applyFont="1" applyAlignment="1">
      <alignment horizontal="left"/>
    </xf>
    <xf numFmtId="165" fontId="0" fillId="0" borderId="11" xfId="0" applyNumberFormat="1" applyBorder="1" applyAlignment="1">
      <alignment horizontal="center"/>
    </xf>
    <xf numFmtId="0" fontId="3" fillId="0" borderId="0" xfId="0" applyFont="1"/>
    <xf numFmtId="0" fontId="2" fillId="3" borderId="5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quotePrefix="1" applyFill="1" applyBorder="1" applyAlignment="1">
      <alignment horizontal="center"/>
    </xf>
    <xf numFmtId="0" fontId="2" fillId="3" borderId="3" xfId="0" quotePrefix="1" applyFont="1" applyFill="1" applyBorder="1" applyAlignment="1">
      <alignment horizontal="center"/>
    </xf>
    <xf numFmtId="0" fontId="2" fillId="3" borderId="4" xfId="0" quotePrefix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2" xfId="0" quotePrefix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1" fontId="0" fillId="0" borderId="14" xfId="0" applyNumberFormat="1" applyBorder="1"/>
    <xf numFmtId="1" fontId="0" fillId="0" borderId="0" xfId="0" applyNumberFormat="1" applyBorder="1"/>
    <xf numFmtId="0" fontId="0" fillId="0" borderId="0" xfId="0" applyBorder="1"/>
    <xf numFmtId="49" fontId="0" fillId="0" borderId="0" xfId="0" applyNumberFormat="1" applyBorder="1" applyAlignment="1">
      <alignment horizontal="right"/>
    </xf>
    <xf numFmtId="49" fontId="0" fillId="0" borderId="0" xfId="0" quotePrefix="1" applyNumberFormat="1" applyBorder="1" applyAlignment="1">
      <alignment horizontal="right"/>
    </xf>
    <xf numFmtId="0" fontId="0" fillId="0" borderId="0" xfId="0" quotePrefix="1" applyBorder="1" applyAlignment="1">
      <alignment horizontal="left"/>
    </xf>
    <xf numFmtId="0" fontId="0" fillId="0" borderId="0" xfId="0" quotePrefix="1" applyBorder="1" applyAlignment="1">
      <alignment horizontal="right"/>
    </xf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0" xfId="0" quotePrefix="1" applyBorder="1"/>
    <xf numFmtId="164" fontId="0" fillId="0" borderId="0" xfId="0" applyNumberFormat="1" applyBorder="1"/>
    <xf numFmtId="1" fontId="0" fillId="0" borderId="25" xfId="0" applyNumberFormat="1" applyBorder="1"/>
    <xf numFmtId="1" fontId="0" fillId="0" borderId="26" xfId="0" applyNumberFormat="1" applyBorder="1"/>
    <xf numFmtId="0" fontId="0" fillId="0" borderId="26" xfId="0" applyBorder="1"/>
    <xf numFmtId="0" fontId="0" fillId="0" borderId="27" xfId="0" applyBorder="1"/>
    <xf numFmtId="0" fontId="6" fillId="0" borderId="0" xfId="0" applyFont="1" applyAlignment="1">
      <alignment horizontal="left"/>
    </xf>
  </cellXfs>
  <cellStyles count="1">
    <cellStyle name="Normal" xfId="0" builtinId="0"/>
  </cellStyles>
  <dxfs count="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84ACAF5A-8567-0F4F-8506-71C34EA84AB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63DEE3-3658-944C-AC1B-753B3DF440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822662-8BA7-1D43-82D7-5F2118CDDA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3-4902-B54A-78FA55CE48E7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B1CA9E54-7F73-4041-A5C1-28BDD7B3EB4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'VSVDB Payload Calculator'!$AB$24:$AB$28</c:f>
              <c:numCache>
                <c:formatCode>0.0000</c:formatCode>
                <c:ptCount val="5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</c:numCache>
            </c:numRef>
          </c:xVal>
          <c:yVal>
            <c:numRef>
              <c:f>'VSVDB Payload Calculator'!$AC$24:$AC$28</c:f>
              <c:numCache>
                <c:formatCode>0.0000</c:formatCode>
                <c:ptCount val="5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'VSVDB Payload Calculator'!$AA$24:$AA$27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823-4902-B54A-78FA55CE48E7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D702E6-B495-3149-8240-8259768F5C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F71D8A-53C1-A64D-8497-339D3FAFB5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708D50-AD71-2E4D-952A-B6CE129501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3-4902-B54A-78FA55CE4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020FE8-7DE4-BA42-9792-4309985A5C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'VSVDB Payload Calculator'!$AD$24:$AD$28</c:f>
              <c:numCache>
                <c:formatCode>0.0000</c:formatCode>
                <c:ptCount val="5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</c:numCache>
            </c:numRef>
          </c:xVal>
          <c:yVal>
            <c:numRef>
              <c:f>'VSVDB Payload Calculator'!$AE$24:$AE$28</c:f>
              <c:numCache>
                <c:formatCode>0.0000</c:formatCode>
                <c:ptCount val="5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'VSVDB Payload Calculator'!$AA$24:$AA$27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823-4902-B54A-78FA55CE48E7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8A60F35E-4748-4F44-B043-EF3302D295E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1558AD-8EBD-4349-8707-BA59E116DA2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3-4902-B54A-78FA55CE48E7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5406C901-F907-B640-B71F-CDDEEBB9155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823-4902-B54A-78FA55CE48E7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CD4B431E-E311-0D40-BC03-B77C6127619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'VSVDB Payload Calculator'!$AF$24:$AF$28</c:f>
              <c:numCache>
                <c:formatCode>0.0000</c:formatCode>
                <c:ptCount val="5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</c:numCache>
            </c:numRef>
          </c:xVal>
          <c:yVal>
            <c:numRef>
              <c:f>'VSVDB Payload Calculator'!$AG$24:$AG$28</c:f>
              <c:numCache>
                <c:formatCode>0.0000</c:formatCode>
                <c:ptCount val="5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'VSVDB Payload Calculator'!$AA$24:$AA$27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0823-4902-B54A-78FA55CE48E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11</xdr:row>
      <xdr:rowOff>52235</xdr:rowOff>
    </xdr:from>
    <xdr:to>
      <xdr:col>13</xdr:col>
      <xdr:colOff>418352</xdr:colOff>
      <xdr:row>40</xdr:row>
      <xdr:rowOff>14942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01"/>
  <dimension ref="B1:AL44"/>
  <sheetViews>
    <sheetView tabSelected="1" zoomScale="90" zoomScaleNormal="90" workbookViewId="0"/>
  </sheetViews>
  <sheetFormatPr baseColWidth="10" defaultColWidth="8.83203125" defaultRowHeight="15" x14ac:dyDescent="0.2"/>
  <cols>
    <col min="1" max="1" width="3.83203125" customWidth="1"/>
    <col min="2" max="2" width="7.1640625" bestFit="1" customWidth="1"/>
    <col min="3" max="3" width="10.33203125" bestFit="1" customWidth="1"/>
    <col min="4" max="4" width="12.33203125" bestFit="1" customWidth="1"/>
    <col min="5" max="5" width="9.5" bestFit="1" customWidth="1"/>
    <col min="6" max="6" width="8" bestFit="1" customWidth="1"/>
    <col min="7" max="7" width="12.33203125" bestFit="1" customWidth="1"/>
    <col min="8" max="9" width="8.1640625" bestFit="1" customWidth="1"/>
    <col min="10" max="10" width="8.33203125" bestFit="1" customWidth="1"/>
    <col min="11" max="11" width="8.5" bestFit="1" customWidth="1"/>
    <col min="12" max="12" width="10.6640625" bestFit="1" customWidth="1"/>
    <col min="13" max="13" width="9.83203125" bestFit="1" customWidth="1"/>
    <col min="14" max="14" width="8.1640625" bestFit="1" customWidth="1"/>
    <col min="15" max="15" width="12.33203125" bestFit="1" customWidth="1"/>
    <col min="16" max="19" width="6.83203125" bestFit="1" customWidth="1"/>
    <col min="20" max="20" width="7.33203125" customWidth="1"/>
    <col min="21" max="21" width="8.5" bestFit="1" customWidth="1"/>
    <col min="22" max="22" width="12" bestFit="1" customWidth="1"/>
    <col min="23" max="23" width="9.6640625" bestFit="1" customWidth="1"/>
    <col min="24" max="24" width="8.33203125" bestFit="1" customWidth="1"/>
    <col min="25" max="25" width="9.33203125" bestFit="1" customWidth="1"/>
    <col min="26" max="26" width="3.6640625" customWidth="1"/>
    <col min="27" max="27" width="19.6640625" bestFit="1" customWidth="1"/>
    <col min="28" max="33" width="6.6640625" bestFit="1" customWidth="1"/>
    <col min="34" max="34" width="32.83203125" bestFit="1" customWidth="1"/>
    <col min="37" max="37" width="32.83203125" bestFit="1" customWidth="1"/>
  </cols>
  <sheetData>
    <row r="1" spans="2:34" ht="16" thickBot="1" x14ac:dyDescent="0.25"/>
    <row r="2" spans="2:34" ht="16" thickBot="1" x14ac:dyDescent="0.25">
      <c r="L2" s="21" t="s">
        <v>23</v>
      </c>
      <c r="M2" s="23" t="s">
        <v>35</v>
      </c>
    </row>
    <row r="3" spans="2:34" ht="16" thickBot="1" x14ac:dyDescent="0.25"/>
    <row r="4" spans="2:34" ht="16" thickBot="1" x14ac:dyDescent="0.25">
      <c r="B4" s="36" t="str">
        <f>DEC2HEX(_xlfn.BITLSHIFT(BIN2DEC(B7),5)+_xlfn.BITLSHIFT(BIN2DEC(C7),2)+_xlfn.BITLSHIFT(BIN2DEC(D7),1)+BIN2DEC(E7))</f>
        <v>49</v>
      </c>
      <c r="C4" s="33"/>
      <c r="D4" s="33"/>
      <c r="E4" s="34"/>
      <c r="F4" s="35" t="str">
        <f>DEC2HEX(_xlfn.BITLSHIFT(BIN2DEC(F7),3)+_xlfn.BITLSHIFT(BIN2DEC(G7),2)+BIN2DEC(H7),2)</f>
        <v>23</v>
      </c>
      <c r="G4" s="31"/>
      <c r="H4" s="32"/>
      <c r="I4" s="35" t="str">
        <f>DEC2HEX(_xlfn.BITLSHIFT(BIN2DEC(I7),3)+_xlfn.BITLSHIFT(BIN2DEC(J7),1)+BIN2DEC(K7),2)</f>
        <v>68</v>
      </c>
      <c r="J4" s="31"/>
      <c r="K4" s="32"/>
      <c r="L4" s="31" t="str">
        <f>BIN2HEX(_xlfn.CONCAT(L7,M7),2)</f>
        <v>87</v>
      </c>
      <c r="M4" s="32"/>
      <c r="N4" s="31" t="str">
        <f>BIN2HEX(_xlfn.CONCAT(N7,O7),2)</f>
        <v>60</v>
      </c>
      <c r="O4" s="32"/>
      <c r="P4" s="31" t="str">
        <f>BIN2HEX(_xlfn.CONCAT(P7,Q7),2)</f>
        <v>76</v>
      </c>
      <c r="Q4" s="32"/>
      <c r="R4" s="31" t="str">
        <f>BIN2HEX(_xlfn.CONCAT(R7,S7),2)</f>
        <v>8F</v>
      </c>
      <c r="S4" s="32"/>
    </row>
    <row r="5" spans="2:34" ht="32" x14ac:dyDescent="0.2">
      <c r="B5" s="28" t="s">
        <v>4</v>
      </c>
      <c r="C5" s="16" t="s">
        <v>6</v>
      </c>
      <c r="D5" s="17" t="s">
        <v>10</v>
      </c>
      <c r="E5" s="18" t="s">
        <v>2</v>
      </c>
      <c r="F5" s="19" t="s">
        <v>51</v>
      </c>
      <c r="G5" s="17" t="s">
        <v>31</v>
      </c>
      <c r="H5" s="20" t="s">
        <v>50</v>
      </c>
      <c r="I5" s="19" t="s">
        <v>52</v>
      </c>
      <c r="J5" s="16" t="s">
        <v>5</v>
      </c>
      <c r="K5" s="18" t="s">
        <v>28</v>
      </c>
      <c r="L5" s="16" t="s">
        <v>49</v>
      </c>
      <c r="M5" s="18" t="s">
        <v>17</v>
      </c>
      <c r="N5" s="16" t="s">
        <v>48</v>
      </c>
      <c r="O5" s="18" t="s">
        <v>16</v>
      </c>
      <c r="P5" s="16" t="s">
        <v>47</v>
      </c>
      <c r="Q5" s="18" t="s">
        <v>8</v>
      </c>
      <c r="R5" s="16" t="s">
        <v>46</v>
      </c>
      <c r="S5" s="18" t="s">
        <v>7</v>
      </c>
    </row>
    <row r="6" spans="2:34" x14ac:dyDescent="0.2">
      <c r="B6" s="29">
        <v>2</v>
      </c>
      <c r="C6" s="2" t="s">
        <v>13</v>
      </c>
      <c r="D6" s="3" t="s">
        <v>12</v>
      </c>
      <c r="E6" s="5" t="s">
        <v>11</v>
      </c>
      <c r="F6" s="26">
        <v>1.9E-2</v>
      </c>
      <c r="G6" s="3" t="s">
        <v>12</v>
      </c>
      <c r="H6" s="4" t="s">
        <v>22</v>
      </c>
      <c r="I6" s="13">
        <v>696</v>
      </c>
      <c r="J6" s="14">
        <v>0</v>
      </c>
      <c r="K6" s="5" t="s">
        <v>26</v>
      </c>
      <c r="L6" s="2">
        <f>INDEX(AD24:AD27,MATCH(M2,AA24:AA27,0))</f>
        <v>0.26500000000000001</v>
      </c>
      <c r="M6" s="22" t="s">
        <v>11</v>
      </c>
      <c r="N6" s="11">
        <f>INDEX(AE24:AE27,MATCH($M$2,$AA$24:$AA$27,0))</f>
        <v>0.69</v>
      </c>
      <c r="O6" s="22" t="s">
        <v>12</v>
      </c>
      <c r="P6" s="11">
        <f>INDEX(AB24:AB27,MATCH($M$2,$AA$24:$AA$27,0))</f>
        <v>0.68</v>
      </c>
      <c r="Q6" s="12">
        <f>INDEX(AF24:AF27,MATCH($M$2,$AA$24:$AA$27,0))</f>
        <v>0.15</v>
      </c>
      <c r="R6" s="2">
        <f>INDEX(AC24:AC27,MATCH($M$2,$AA$24:$AA$27,0))</f>
        <v>0.32</v>
      </c>
      <c r="S6" s="12">
        <f>INDEX(AG24:AG27,MATCH($M$2,$AA$24:$AA$27,0))</f>
        <v>0.06</v>
      </c>
    </row>
    <row r="7" spans="2:34" s="1" customFormat="1" ht="16" thickBot="1" x14ac:dyDescent="0.25">
      <c r="B7" s="30" t="s">
        <v>9</v>
      </c>
      <c r="C7" s="6" t="s">
        <v>9</v>
      </c>
      <c r="D7" s="7">
        <f>IF(EXACT(D6,"Supported"),1,0)</f>
        <v>0</v>
      </c>
      <c r="E7" s="8">
        <f>IF(EXACT(E6,"Supported"),1,0)</f>
        <v>1</v>
      </c>
      <c r="F7" s="9" t="str">
        <f>DEC2BIN(VLOOKUP(F6,X11:Y40,2),5)</f>
        <v>00100</v>
      </c>
      <c r="G7" s="7">
        <f>IF(EXACT(G6,"Supported"),1,0)</f>
        <v>0</v>
      </c>
      <c r="H7" s="8" t="str">
        <f>IF(EXACT(D6,"Not Supported"),"11",INDEX(AB11:AB14,MATCH(H6,AA11:AA14,0)))</f>
        <v>11</v>
      </c>
      <c r="I7" s="9" t="str">
        <f>DEC2BIN(VLOOKUP(I6,V11:W40,2),5)</f>
        <v>01101</v>
      </c>
      <c r="J7" s="7">
        <v>0</v>
      </c>
      <c r="K7" s="8" t="str">
        <f>VLOOKUP(K6,AA18:AB21,2)</f>
        <v>00</v>
      </c>
      <c r="L7" s="15" t="str">
        <f>DEC2BIN(L6/( 0.49609375/127),7)</f>
        <v>1000011</v>
      </c>
      <c r="M7" s="10">
        <f>IF(AND(EXACT(M6,"Supported"),EXACT(O6,"Not Supported")),1,0)</f>
        <v>1</v>
      </c>
      <c r="N7" s="15" t="str">
        <f>DEC2BIN((N6-0.5)/((0.99609375-0.5)/127),7)</f>
        <v>0110000</v>
      </c>
      <c r="O7" s="10">
        <f>IF(AND(EXACT(O6,"Supported"),EXACT(M6,"Not Supported")),1,0)</f>
        <v>0</v>
      </c>
      <c r="P7" s="9" t="str">
        <f>DEC2BIN((P6-0.625)/((0.74609375-0.625)/31),5)</f>
        <v>01110</v>
      </c>
      <c r="Q7" s="8" t="str">
        <f>DEC2BIN((Q6-0.125)/((0.15234375-0.125)/7),3)</f>
        <v>110</v>
      </c>
      <c r="R7" s="9" t="str">
        <f>DEC2BIN((R6-0.25)/((0.37109375-0.25)/31),5)</f>
        <v>10001</v>
      </c>
      <c r="S7" s="8" t="str">
        <f>DEC2BIN((S6-0.03125)/((0.05859375-0.03125)/7),3)</f>
        <v>111</v>
      </c>
      <c r="T7"/>
    </row>
    <row r="8" spans="2:34" ht="16" thickBot="1" x14ac:dyDescent="0.25"/>
    <row r="9" spans="2:34" ht="27" thickBot="1" x14ac:dyDescent="0.4">
      <c r="B9" s="37" t="s">
        <v>61</v>
      </c>
      <c r="C9" s="38"/>
      <c r="D9" s="38"/>
      <c r="E9" s="39"/>
      <c r="F9" s="40" t="str">
        <f>_xlfn.CONCAT(B4:S4)</f>
        <v>4923688760768F</v>
      </c>
      <c r="G9" s="41"/>
      <c r="H9" s="42"/>
      <c r="I9" s="25"/>
      <c r="J9" s="25"/>
    </row>
    <row r="10" spans="2:34" x14ac:dyDescent="0.2">
      <c r="B10" s="25"/>
      <c r="C10" s="25"/>
      <c r="D10" s="25"/>
      <c r="E10" s="25"/>
      <c r="F10" s="25"/>
      <c r="G10" s="25"/>
      <c r="H10" s="25"/>
      <c r="I10" s="25"/>
      <c r="J10" s="25"/>
      <c r="U10" s="43" t="s">
        <v>53</v>
      </c>
      <c r="V10" s="44" t="s">
        <v>59</v>
      </c>
      <c r="W10" s="44" t="s">
        <v>57</v>
      </c>
      <c r="X10" s="44" t="s">
        <v>54</v>
      </c>
      <c r="Y10" s="44" t="s">
        <v>58</v>
      </c>
      <c r="Z10" s="45"/>
      <c r="AA10" s="44" t="s">
        <v>3</v>
      </c>
      <c r="AB10" s="44" t="s">
        <v>25</v>
      </c>
      <c r="AC10" s="44"/>
      <c r="AD10" s="45"/>
      <c r="AE10" s="45"/>
      <c r="AF10" s="45"/>
      <c r="AG10" s="45"/>
      <c r="AH10" s="46"/>
    </row>
    <row r="11" spans="2:34" x14ac:dyDescent="0.2">
      <c r="B11" s="25"/>
      <c r="U11" s="47" cm="1">
        <f t="array" ref="U11">PQ2nits((2055+65*W11)/(2055+31*65))</f>
        <v>96.892947435896019</v>
      </c>
      <c r="V11" s="48">
        <f t="shared" ref="V11:V40" si="0">INT(U11)</f>
        <v>96</v>
      </c>
      <c r="W11" s="49">
        <v>0</v>
      </c>
      <c r="X11" s="49" cm="1">
        <f t="array" ref="X11">ROUND(PQ2nits((20*$W11)/(2055+31*65)),3)</f>
        <v>0</v>
      </c>
      <c r="Y11" s="49">
        <v>0</v>
      </c>
      <c r="Z11" s="49"/>
      <c r="AA11" s="50" t="s">
        <v>15</v>
      </c>
      <c r="AB11" s="51" t="s">
        <v>1</v>
      </c>
      <c r="AC11" s="49"/>
      <c r="AD11" s="49"/>
      <c r="AE11" s="49"/>
      <c r="AF11" s="49"/>
      <c r="AG11" s="49"/>
      <c r="AH11" s="54"/>
    </row>
    <row r="12" spans="2:34" x14ac:dyDescent="0.2">
      <c r="B12" s="25"/>
      <c r="U12" s="47" cm="1">
        <f t="array" ref="U12">PQ2nits((2055+65*W12)/(2055+31*65))</f>
        <v>113.54849272653082</v>
      </c>
      <c r="V12" s="48">
        <f t="shared" si="0"/>
        <v>113</v>
      </c>
      <c r="W12" s="49">
        <v>1</v>
      </c>
      <c r="X12" s="49" cm="1">
        <f t="array" ref="X12">ROUND(PQ2nits((20*$W12)/(2055+31*65)),3)</f>
        <v>1E-3</v>
      </c>
      <c r="Y12" s="49">
        <v>1</v>
      </c>
      <c r="Z12" s="49"/>
      <c r="AA12" s="50" t="s">
        <v>14</v>
      </c>
      <c r="AB12" s="51" t="s">
        <v>0</v>
      </c>
      <c r="AC12" s="49"/>
      <c r="AD12" s="49"/>
      <c r="AE12" s="49"/>
      <c r="AF12" s="49"/>
      <c r="AG12" s="49"/>
      <c r="AH12" s="54"/>
    </row>
    <row r="13" spans="2:34" x14ac:dyDescent="0.2">
      <c r="B13" s="25"/>
      <c r="U13" s="47" cm="1">
        <f t="array" ref="U13">PQ2nits((2055+65*W13)/(2055+31*65))</f>
        <v>132.8553779672919</v>
      </c>
      <c r="V13" s="48">
        <f t="shared" si="0"/>
        <v>132</v>
      </c>
      <c r="W13" s="49">
        <v>2</v>
      </c>
      <c r="X13" s="49" cm="1">
        <f t="array" ref="X13">ROUND(PQ2nits((20*$W13)/(2055+31*65)),3)</f>
        <v>2E-3</v>
      </c>
      <c r="Y13" s="49">
        <v>2</v>
      </c>
      <c r="Z13" s="49"/>
      <c r="AA13" s="50" t="s">
        <v>18</v>
      </c>
      <c r="AB13" s="51" t="s">
        <v>20</v>
      </c>
      <c r="AC13" s="49"/>
      <c r="AD13" s="49"/>
      <c r="AE13" s="49"/>
      <c r="AF13" s="49"/>
      <c r="AG13" s="49"/>
      <c r="AH13" s="54"/>
    </row>
    <row r="14" spans="2:34" x14ac:dyDescent="0.2">
      <c r="B14" s="25"/>
      <c r="U14" s="47" cm="1">
        <f t="array" ref="U14">PQ2nits((2055+65*W14)/(2055+31*65))</f>
        <v>155.21994460137662</v>
      </c>
      <c r="V14" s="48">
        <f t="shared" si="0"/>
        <v>155</v>
      </c>
      <c r="W14" s="49">
        <v>3</v>
      </c>
      <c r="X14" s="49" cm="1">
        <f t="array" ref="X14">ROUND(PQ2nits((20*$W14)/(2055+31*65)),3)</f>
        <v>5.0000000000000001E-3</v>
      </c>
      <c r="Y14" s="49">
        <v>3</v>
      </c>
      <c r="Z14" s="49"/>
      <c r="AA14" s="51" t="s">
        <v>19</v>
      </c>
      <c r="AB14" s="51" t="s">
        <v>21</v>
      </c>
      <c r="AC14" s="55"/>
      <c r="AD14" s="49"/>
      <c r="AE14" s="49"/>
      <c r="AF14" s="55"/>
      <c r="AG14" s="55"/>
      <c r="AH14" s="56"/>
    </row>
    <row r="15" spans="2:34" x14ac:dyDescent="0.2">
      <c r="B15" s="25"/>
      <c r="U15" s="47" cm="1">
        <f t="array" ref="U15">PQ2nits((2055+65*W15)/(2055+31*65))</f>
        <v>181.11079810348093</v>
      </c>
      <c r="V15" s="48">
        <f t="shared" si="0"/>
        <v>181</v>
      </c>
      <c r="W15" s="49">
        <v>4</v>
      </c>
      <c r="X15" s="49" cm="1">
        <f t="array" ref="X15">ROUND(PQ2nits((20*$W15)/(2055+31*65)),3)</f>
        <v>8.0000000000000002E-3</v>
      </c>
      <c r="Y15" s="49">
        <v>4</v>
      </c>
      <c r="Z15" s="49"/>
      <c r="AA15" s="57" t="s">
        <v>22</v>
      </c>
      <c r="AB15" s="49">
        <v>11</v>
      </c>
      <c r="AC15" s="49"/>
      <c r="AD15" s="49"/>
      <c r="AE15" s="49"/>
      <c r="AF15" s="49"/>
      <c r="AG15" s="49"/>
      <c r="AH15" s="54"/>
    </row>
    <row r="16" spans="2:34" x14ac:dyDescent="0.2">
      <c r="B16" s="25"/>
      <c r="U16" s="47" cm="1">
        <f t="array" ref="U16">PQ2nits((2055+65*W16)/(2055+31*65))</f>
        <v>285.77867132455833</v>
      </c>
      <c r="V16" s="48">
        <f t="shared" si="0"/>
        <v>285</v>
      </c>
      <c r="W16" s="49">
        <v>7</v>
      </c>
      <c r="X16" s="49" cm="1">
        <f t="array" ref="X16">ROUND(PQ2nits((20*$W16)/(2055+31*65)),3)</f>
        <v>2.5999999999999999E-2</v>
      </c>
      <c r="Y16" s="49">
        <v>7</v>
      </c>
      <c r="Z16" s="49"/>
      <c r="AA16" s="49"/>
      <c r="AB16" s="49"/>
      <c r="AC16" s="49"/>
      <c r="AD16" s="49"/>
      <c r="AE16" s="49"/>
      <c r="AF16" s="49"/>
      <c r="AG16" s="49"/>
      <c r="AH16" s="54"/>
    </row>
    <row r="17" spans="2:34" ht="22" x14ac:dyDescent="0.3">
      <c r="B17" s="25"/>
      <c r="K17" s="27"/>
      <c r="U17" s="47" cm="1">
        <f t="array" ref="U17">PQ2nits((2055+65*W17)/(2055+31*65))</f>
        <v>332.08526759956032</v>
      </c>
      <c r="V17" s="48">
        <f t="shared" si="0"/>
        <v>332</v>
      </c>
      <c r="W17" s="49">
        <v>8</v>
      </c>
      <c r="X17" s="49" cm="1">
        <f t="array" ref="X17">ROUND(PQ2nits((20*$W17)/(2055+31*65)),3)</f>
        <v>3.5000000000000003E-2</v>
      </c>
      <c r="Y17" s="49">
        <v>8</v>
      </c>
      <c r="Z17" s="49"/>
      <c r="AA17" s="58" t="s">
        <v>24</v>
      </c>
      <c r="AB17" s="58" t="s">
        <v>25</v>
      </c>
      <c r="AC17" s="49"/>
      <c r="AD17" s="49"/>
      <c r="AE17" s="49"/>
      <c r="AF17" s="49"/>
      <c r="AG17" s="49"/>
      <c r="AH17" s="54"/>
    </row>
    <row r="18" spans="2:34" x14ac:dyDescent="0.2">
      <c r="B18" s="25"/>
      <c r="U18" s="47" cm="1">
        <f t="array" ref="U18">PQ2nits((2055+65*W18)/(2055+31*65))</f>
        <v>385.60127757798284</v>
      </c>
      <c r="V18" s="48">
        <f t="shared" si="0"/>
        <v>385</v>
      </c>
      <c r="W18" s="49">
        <v>9</v>
      </c>
      <c r="X18" s="49" cm="1">
        <f t="array" ref="X18">ROUND(PQ2nits((20*$W18)/(2055+31*65)),3)</f>
        <v>4.5999999999999999E-2</v>
      </c>
      <c r="Y18" s="49">
        <v>9</v>
      </c>
      <c r="Z18" s="49"/>
      <c r="AA18" s="52" t="s">
        <v>26</v>
      </c>
      <c r="AB18" s="53" t="s">
        <v>1</v>
      </c>
      <c r="AC18" s="49"/>
      <c r="AD18" s="49"/>
      <c r="AE18" s="49"/>
      <c r="AF18" s="49"/>
      <c r="AG18" s="49"/>
      <c r="AH18" s="54"/>
    </row>
    <row r="19" spans="2:34" x14ac:dyDescent="0.2">
      <c r="B19" s="25"/>
      <c r="U19" s="47" cm="1">
        <f t="array" ref="U19">PQ2nits((2055+65*W19)/(2055+31*65))</f>
        <v>447.4424314578805</v>
      </c>
      <c r="V19" s="48">
        <f t="shared" si="0"/>
        <v>447</v>
      </c>
      <c r="W19" s="49">
        <v>10</v>
      </c>
      <c r="X19" s="49" cm="1">
        <f t="array" ref="X19">ROUND(PQ2nits((20*$W19)/(2055+31*65)),3)</f>
        <v>5.8000000000000003E-2</v>
      </c>
      <c r="Y19" s="49">
        <v>10</v>
      </c>
      <c r="Z19" s="49"/>
      <c r="AA19" s="52" t="s">
        <v>27</v>
      </c>
      <c r="AB19" s="53" t="s">
        <v>0</v>
      </c>
      <c r="AC19" s="49"/>
      <c r="AD19" s="49"/>
      <c r="AE19" s="49"/>
      <c r="AF19" s="49"/>
      <c r="AG19" s="49"/>
      <c r="AH19" s="54"/>
    </row>
    <row r="20" spans="2:34" x14ac:dyDescent="0.2">
      <c r="U20" s="47" cm="1">
        <f t="array" ref="U20">PQ2nits((2055+65*W20)/(2055+31*65))</f>
        <v>518.90120035137977</v>
      </c>
      <c r="V20" s="48">
        <f t="shared" si="0"/>
        <v>518</v>
      </c>
      <c r="W20" s="49">
        <v>11</v>
      </c>
      <c r="X20" s="49" cm="1">
        <f t="array" ref="X20">ROUND(PQ2nits((20*$W20)/(2055+31*65)),3)</f>
        <v>7.1999999999999995E-2</v>
      </c>
      <c r="Y20" s="49">
        <v>11</v>
      </c>
      <c r="Z20" s="49"/>
      <c r="AA20" s="52" t="s">
        <v>29</v>
      </c>
      <c r="AB20" s="53" t="s">
        <v>20</v>
      </c>
      <c r="AC20" s="49"/>
      <c r="AD20" s="49"/>
      <c r="AE20" s="49"/>
      <c r="AF20" s="49"/>
      <c r="AG20" s="49"/>
      <c r="AH20" s="54"/>
    </row>
    <row r="21" spans="2:34" x14ac:dyDescent="0.2">
      <c r="U21" s="47" cm="1">
        <f t="array" ref="U21">PQ2nits((2055+65*W21)/(2055+31*65))</f>
        <v>601.47603811804879</v>
      </c>
      <c r="V21" s="48">
        <f t="shared" si="0"/>
        <v>601</v>
      </c>
      <c r="W21" s="49">
        <v>12</v>
      </c>
      <c r="X21" s="49" cm="1">
        <f t="array" ref="X21">ROUND(PQ2nits((20*$W21)/(2055+31*65)),3)</f>
        <v>8.7999999999999995E-2</v>
      </c>
      <c r="Y21" s="49">
        <v>12</v>
      </c>
      <c r="Z21" s="49"/>
      <c r="AA21" s="52" t="s">
        <v>30</v>
      </c>
      <c r="AB21" s="53" t="s">
        <v>21</v>
      </c>
      <c r="AC21" s="49"/>
      <c r="AD21" s="49"/>
      <c r="AE21" s="49"/>
      <c r="AF21" s="49"/>
      <c r="AG21" s="49"/>
      <c r="AH21" s="54"/>
    </row>
    <row r="22" spans="2:34" x14ac:dyDescent="0.2">
      <c r="U22" s="47" cm="1">
        <f t="array" ref="U22">PQ2nits((2055+65*W22)/(2055+31*65))</f>
        <v>696.90573691812881</v>
      </c>
      <c r="V22" s="48">
        <f t="shared" si="0"/>
        <v>696</v>
      </c>
      <c r="W22" s="49">
        <v>13</v>
      </c>
      <c r="X22" s="49" cm="1">
        <f t="array" ref="X22">ROUND(PQ2nits((20*$W22)/(2055+31*65)),3)</f>
        <v>0.106</v>
      </c>
      <c r="Y22" s="49">
        <v>13</v>
      </c>
      <c r="Z22" s="49"/>
      <c r="AA22" s="49"/>
      <c r="AB22" s="49"/>
      <c r="AC22" s="49"/>
      <c r="AD22" s="49"/>
      <c r="AE22" s="49"/>
      <c r="AF22" s="49"/>
      <c r="AG22" s="49"/>
      <c r="AH22" s="54"/>
    </row>
    <row r="23" spans="2:34" x14ac:dyDescent="0.2">
      <c r="U23" s="47" cm="1">
        <f t="array" ref="U23">PQ2nits((2055+65*W23)/(2055+31*65))</f>
        <v>807.20984771939675</v>
      </c>
      <c r="V23" s="48">
        <f t="shared" si="0"/>
        <v>807</v>
      </c>
      <c r="W23" s="49">
        <v>14</v>
      </c>
      <c r="X23" s="49" cm="1">
        <f t="array" ref="X23">ROUND(PQ2nits((20*$W23)/(2055+31*65)),3)</f>
        <v>0.127</v>
      </c>
      <c r="Y23" s="49">
        <v>14</v>
      </c>
      <c r="Z23" s="49"/>
      <c r="AA23" s="58" t="s">
        <v>32</v>
      </c>
      <c r="AB23" s="58" t="s">
        <v>36</v>
      </c>
      <c r="AC23" s="58" t="s">
        <v>37</v>
      </c>
      <c r="AD23" s="58" t="s">
        <v>38</v>
      </c>
      <c r="AE23" s="58" t="s">
        <v>39</v>
      </c>
      <c r="AF23" s="58" t="s">
        <v>40</v>
      </c>
      <c r="AG23" s="58" t="s">
        <v>41</v>
      </c>
      <c r="AH23" s="59" t="s">
        <v>45</v>
      </c>
    </row>
    <row r="24" spans="2:34" x14ac:dyDescent="0.2">
      <c r="U24" s="47" cm="1">
        <f t="array" ref="U24">PQ2nits((2055+65*W24)/(2055+31*65))</f>
        <v>934.73630576930043</v>
      </c>
      <c r="V24" s="48">
        <f t="shared" si="0"/>
        <v>934</v>
      </c>
      <c r="W24" s="49">
        <v>15</v>
      </c>
      <c r="X24" s="49" cm="1">
        <f t="array" ref="X24">ROUND(PQ2nits((20*$W24)/(2055+31*65)),3)</f>
        <v>0.15</v>
      </c>
      <c r="Y24" s="49">
        <v>15</v>
      </c>
      <c r="Z24" s="49"/>
      <c r="AA24" s="60" t="s">
        <v>33</v>
      </c>
      <c r="AB24" s="61">
        <v>0.64</v>
      </c>
      <c r="AC24" s="61">
        <v>0.33</v>
      </c>
      <c r="AD24" s="61">
        <v>0.3</v>
      </c>
      <c r="AE24" s="61">
        <v>0.6</v>
      </c>
      <c r="AF24" s="61">
        <v>0.15</v>
      </c>
      <c r="AG24" s="61">
        <v>0.06</v>
      </c>
      <c r="AH24" s="54" t="s">
        <v>44</v>
      </c>
    </row>
    <row r="25" spans="2:34" x14ac:dyDescent="0.2">
      <c r="U25" s="47" cm="1">
        <f t="array" ref="U25">PQ2nits((2055+65*W25)/(2055+31*65))</f>
        <v>1082.2176298225916</v>
      </c>
      <c r="V25" s="48">
        <f t="shared" si="0"/>
        <v>1082</v>
      </c>
      <c r="W25" s="49">
        <v>16</v>
      </c>
      <c r="X25" s="49" cm="1">
        <f t="array" ref="X25">ROUND(PQ2nits((20*$W25)/(2055+31*65)),3)</f>
        <v>0.17599999999999999</v>
      </c>
      <c r="Y25" s="49">
        <v>16</v>
      </c>
      <c r="Z25" s="49"/>
      <c r="AA25" s="60" t="s">
        <v>34</v>
      </c>
      <c r="AB25" s="61">
        <v>0.70799999999999996</v>
      </c>
      <c r="AC25" s="61">
        <v>0.29199999999999998</v>
      </c>
      <c r="AD25" s="61">
        <v>0.17</v>
      </c>
      <c r="AE25" s="61">
        <v>0.79700000000000004</v>
      </c>
      <c r="AF25" s="61">
        <v>0.13100000000000001</v>
      </c>
      <c r="AG25" s="61">
        <v>4.5999999999999999E-2</v>
      </c>
      <c r="AH25" s="54" t="s">
        <v>42</v>
      </c>
    </row>
    <row r="26" spans="2:34" x14ac:dyDescent="0.2">
      <c r="U26" s="47" cm="1">
        <f t="array" ref="U26">PQ2nits((2055+65*W26)/(2055+31*65))</f>
        <v>1252.8373417552439</v>
      </c>
      <c r="V26" s="48">
        <f t="shared" si="0"/>
        <v>1252</v>
      </c>
      <c r="W26" s="49">
        <v>17</v>
      </c>
      <c r="X26" s="49" cm="1">
        <f t="array" ref="X26">ROUND(PQ2nits((20*$W26)/(2055+31*65)),3)</f>
        <v>0.20399999999999999</v>
      </c>
      <c r="Y26" s="49">
        <v>17</v>
      </c>
      <c r="Z26" s="49"/>
      <c r="AA26" s="60" t="s">
        <v>35</v>
      </c>
      <c r="AB26" s="61">
        <v>0.68</v>
      </c>
      <c r="AC26" s="61">
        <v>0.32</v>
      </c>
      <c r="AD26" s="61">
        <v>0.26500000000000001</v>
      </c>
      <c r="AE26" s="61">
        <v>0.69</v>
      </c>
      <c r="AF26" s="61">
        <v>0.15</v>
      </c>
      <c r="AG26" s="61">
        <v>0.06</v>
      </c>
      <c r="AH26" s="54" t="s">
        <v>43</v>
      </c>
    </row>
    <row r="27" spans="2:34" x14ac:dyDescent="0.2">
      <c r="U27" s="47" cm="1">
        <f t="array" ref="U27">PQ2nits((2055+65*W27)/(2055+31*65))</f>
        <v>1450.3085913303757</v>
      </c>
      <c r="V27" s="48">
        <f t="shared" si="0"/>
        <v>1450</v>
      </c>
      <c r="W27" s="49">
        <v>18</v>
      </c>
      <c r="X27" s="49" cm="1">
        <f t="array" ref="X27">ROUND(PQ2nits((20*$W27)/(2055+31*65)),3)</f>
        <v>0.23599999999999999</v>
      </c>
      <c r="Y27" s="49">
        <v>18</v>
      </c>
      <c r="Z27" s="49"/>
      <c r="AA27" s="49" t="s">
        <v>55</v>
      </c>
      <c r="AB27" s="61">
        <v>0.66700000000000004</v>
      </c>
      <c r="AC27" s="61">
        <v>0.33100000000000002</v>
      </c>
      <c r="AD27" s="61">
        <v>0.314</v>
      </c>
      <c r="AE27" s="61">
        <v>0.67200000000000004</v>
      </c>
      <c r="AF27" s="61">
        <v>0.14799999999999999</v>
      </c>
      <c r="AG27" s="61">
        <v>4.2000000000000003E-2</v>
      </c>
      <c r="AH27" s="54"/>
    </row>
    <row r="28" spans="2:34" x14ac:dyDescent="0.2">
      <c r="U28" s="47" cm="1">
        <f t="array" ref="U28">PQ2nits((2055+65*W28)/(2055+31*65))</f>
        <v>1678.9673833060201</v>
      </c>
      <c r="V28" s="48">
        <f t="shared" si="0"/>
        <v>1678</v>
      </c>
      <c r="W28" s="49">
        <v>19</v>
      </c>
      <c r="X28" s="49" cm="1">
        <f t="array" ref="X28">ROUND(PQ2nits((20*$W28)/(2055+31*65)),3)</f>
        <v>0.27100000000000002</v>
      </c>
      <c r="Y28" s="49">
        <v>19</v>
      </c>
      <c r="Z28" s="49"/>
      <c r="AA28" s="49" t="s">
        <v>56</v>
      </c>
      <c r="AB28" s="61">
        <v>0.66700000000000004</v>
      </c>
      <c r="AC28" s="61">
        <v>0.33100000000000002</v>
      </c>
      <c r="AD28" s="61">
        <v>0.26500000000000001</v>
      </c>
      <c r="AE28" s="61">
        <v>0.69</v>
      </c>
      <c r="AF28" s="61">
        <v>0.14799999999999999</v>
      </c>
      <c r="AG28" s="61">
        <v>0.06</v>
      </c>
      <c r="AH28" s="54"/>
    </row>
    <row r="29" spans="2:34" x14ac:dyDescent="0.2">
      <c r="U29" s="47" cm="1">
        <f t="array" ref="U29">PQ2nits((2055+65*W29)/(2055+31*65))</f>
        <v>1943.883308216446</v>
      </c>
      <c r="V29" s="48">
        <f t="shared" si="0"/>
        <v>1943</v>
      </c>
      <c r="W29" s="49">
        <v>20</v>
      </c>
      <c r="X29" s="49" cm="1">
        <f t="array" ref="X29">ROUND(PQ2nits((20*$W29)/(2055+31*65)),3)</f>
        <v>0.31</v>
      </c>
      <c r="Y29" s="49">
        <v>20</v>
      </c>
      <c r="Z29" s="49"/>
      <c r="AA29" s="49"/>
      <c r="AB29" s="49"/>
      <c r="AC29" s="49"/>
      <c r="AD29" s="49"/>
      <c r="AE29" s="49"/>
      <c r="AF29" s="49"/>
      <c r="AG29" s="49"/>
      <c r="AH29" s="54"/>
    </row>
    <row r="30" spans="2:34" x14ac:dyDescent="0.2">
      <c r="U30" s="47" cm="1">
        <f t="array" ref="U30">PQ2nits((2055+65*W30)/(2055+31*65))</f>
        <v>2250.9912958814321</v>
      </c>
      <c r="V30" s="48">
        <f t="shared" si="0"/>
        <v>2250</v>
      </c>
      <c r="W30" s="49">
        <v>21</v>
      </c>
      <c r="X30" s="49" cm="1">
        <f t="array" ref="X30">ROUND(PQ2nits((20*$W30)/(2055+31*65)),3)</f>
        <v>0.35299999999999998</v>
      </c>
      <c r="Y30" s="49">
        <v>21</v>
      </c>
      <c r="Z30" s="49"/>
      <c r="AA30" s="49"/>
      <c r="AB30" s="49"/>
      <c r="AC30" s="49"/>
      <c r="AD30" s="49"/>
      <c r="AE30" s="49"/>
      <c r="AF30" s="49"/>
      <c r="AG30" s="49"/>
      <c r="AH30" s="54"/>
    </row>
    <row r="31" spans="2:34" x14ac:dyDescent="0.2">
      <c r="U31" s="47" cm="1">
        <f t="array" ref="U31">PQ2nits((2055+65*W31)/(2055+31*65))</f>
        <v>2607.2486693336282</v>
      </c>
      <c r="V31" s="48">
        <f t="shared" si="0"/>
        <v>2607</v>
      </c>
      <c r="W31" s="49">
        <v>22</v>
      </c>
      <c r="X31" s="49" cm="1">
        <f t="array" ref="X31">ROUND(PQ2nits((20*$W31)/(2055+31*65)),3)</f>
        <v>0.39900000000000002</v>
      </c>
      <c r="Y31" s="49">
        <v>22</v>
      </c>
      <c r="Z31" s="49"/>
      <c r="AA31" s="49"/>
      <c r="AB31" s="49"/>
      <c r="AC31" s="49"/>
      <c r="AD31" s="49"/>
      <c r="AE31" s="49"/>
      <c r="AF31" s="49"/>
      <c r="AG31" s="49"/>
      <c r="AH31" s="54"/>
    </row>
    <row r="32" spans="2:34" x14ac:dyDescent="0.2">
      <c r="U32" s="47" cm="1">
        <f t="array" ref="U32">PQ2nits((2055+65*W32)/(2055+31*65))</f>
        <v>3020.8227108924725</v>
      </c>
      <c r="V32" s="48">
        <f t="shared" si="0"/>
        <v>3020</v>
      </c>
      <c r="W32" s="49">
        <v>23</v>
      </c>
      <c r="X32" s="49" cm="1">
        <f t="array" ref="X32">ROUND(PQ2nits((20*$W32)/(2055+31*65)),3)</f>
        <v>0.45</v>
      </c>
      <c r="Y32" s="49">
        <v>23</v>
      </c>
      <c r="Z32" s="49"/>
      <c r="AA32" s="49"/>
      <c r="AB32" s="49"/>
      <c r="AC32" s="49"/>
      <c r="AD32" s="49"/>
      <c r="AE32" s="49"/>
      <c r="AF32" s="49"/>
      <c r="AG32" s="49"/>
      <c r="AH32" s="54"/>
    </row>
    <row r="33" spans="2:38" x14ac:dyDescent="0.2">
      <c r="U33" s="47" cm="1">
        <f t="array" ref="U33">PQ2nits((2055+65*W33)/(2055+31*65))</f>
        <v>3501.3151049328471</v>
      </c>
      <c r="V33" s="48">
        <f t="shared" si="0"/>
        <v>3501</v>
      </c>
      <c r="W33" s="49">
        <v>24</v>
      </c>
      <c r="X33" s="49" cm="1">
        <f t="array" ref="X33">ROUND(PQ2nits((20*$W33)/(2055+31*65)),3)</f>
        <v>0.50600000000000001</v>
      </c>
      <c r="Y33" s="49">
        <v>24</v>
      </c>
      <c r="Z33" s="49"/>
      <c r="AA33" s="49"/>
      <c r="AB33" s="49"/>
      <c r="AC33" s="49"/>
      <c r="AD33" s="49"/>
      <c r="AE33" s="49"/>
      <c r="AF33" s="49"/>
      <c r="AG33" s="49"/>
      <c r="AH33" s="54"/>
    </row>
    <row r="34" spans="2:38" x14ac:dyDescent="0.2">
      <c r="U34" s="47" cm="1">
        <f t="array" ref="U34">PQ2nits((2055+65*W34)/(2055+31*65))</f>
        <v>4060.0310484965503</v>
      </c>
      <c r="V34" s="48">
        <f t="shared" si="0"/>
        <v>4060</v>
      </c>
      <c r="W34" s="49">
        <v>25</v>
      </c>
      <c r="X34" s="49" cm="1">
        <f t="array" ref="X34">ROUND(PQ2nits((20*$W34)/(2055+31*65)),3)</f>
        <v>0.56599999999999995</v>
      </c>
      <c r="Y34" s="49">
        <v>25</v>
      </c>
      <c r="Z34" s="49"/>
      <c r="AA34" s="49"/>
      <c r="AB34" s="49"/>
      <c r="AC34" s="49"/>
      <c r="AD34" s="49"/>
      <c r="AE34" s="49"/>
      <c r="AF34" s="49"/>
      <c r="AG34" s="49"/>
      <c r="AH34" s="54"/>
    </row>
    <row r="35" spans="2:38" x14ac:dyDescent="0.2">
      <c r="U35" s="47" cm="1">
        <f t="array" ref="U35">PQ2nits((2055+65*W35)/(2055+31*65))</f>
        <v>4710.3025909538856</v>
      </c>
      <c r="V35" s="48">
        <f t="shared" si="0"/>
        <v>4710</v>
      </c>
      <c r="W35" s="49">
        <v>26</v>
      </c>
      <c r="X35" s="49" cm="1">
        <f t="array" ref="X35">ROUND(PQ2nits((20*$W35)/(2055+31*65)),3)</f>
        <v>0.63100000000000001</v>
      </c>
      <c r="Y35" s="49">
        <v>26</v>
      </c>
      <c r="Z35" s="49"/>
      <c r="AA35" s="49"/>
      <c r="AB35" s="49"/>
      <c r="AC35" s="49"/>
      <c r="AD35" s="49"/>
      <c r="AE35" s="49"/>
      <c r="AF35" s="49"/>
      <c r="AG35" s="49"/>
      <c r="AH35" s="54"/>
    </row>
    <row r="36" spans="2:38" x14ac:dyDescent="0.2">
      <c r="U36" s="47" cm="1">
        <f t="array" ref="U36">PQ2nits((2055+65*W36)/(2055+31*65))</f>
        <v>5467.8779662040888</v>
      </c>
      <c r="V36" s="48">
        <f t="shared" si="0"/>
        <v>5467</v>
      </c>
      <c r="W36" s="49">
        <v>27</v>
      </c>
      <c r="X36" s="49" cm="1">
        <f t="array" ref="X36">ROUND(PQ2nits((20*$W36)/(2055+31*65)),3)</f>
        <v>0.70199999999999996</v>
      </c>
      <c r="Y36" s="49">
        <v>27</v>
      </c>
      <c r="Z36" s="49"/>
      <c r="AA36" s="49"/>
      <c r="AB36" s="49"/>
      <c r="AC36" s="49"/>
      <c r="AD36" s="49"/>
      <c r="AE36" s="49"/>
      <c r="AF36" s="49"/>
      <c r="AG36" s="49"/>
      <c r="AH36" s="54"/>
    </row>
    <row r="37" spans="2:38" x14ac:dyDescent="0.2">
      <c r="U37" s="47" cm="1">
        <f t="array" ref="U37">PQ2nits((2055+65*W37)/(2055+31*65))</f>
        <v>6351.3914286654517</v>
      </c>
      <c r="V37" s="48">
        <f t="shared" si="0"/>
        <v>6351</v>
      </c>
      <c r="W37" s="49">
        <v>28</v>
      </c>
      <c r="X37" s="49" cm="1">
        <f t="array" ref="X37">ROUND(PQ2nits((20*$W37)/(2055+31*65)),3)</f>
        <v>0.77900000000000003</v>
      </c>
      <c r="Y37" s="49">
        <v>28</v>
      </c>
      <c r="Z37" s="49"/>
      <c r="AA37" s="49"/>
      <c r="AB37" s="49"/>
      <c r="AC37" s="49"/>
      <c r="AD37" s="49"/>
      <c r="AE37" s="49"/>
      <c r="AF37" s="49"/>
      <c r="AG37" s="49"/>
      <c r="AH37" s="54"/>
      <c r="AI37" s="24"/>
      <c r="AJ37" s="24"/>
      <c r="AK37" s="24"/>
      <c r="AL37" s="24"/>
    </row>
    <row r="38" spans="2:38" x14ac:dyDescent="0.2">
      <c r="U38" s="47" cm="1">
        <f t="array" ref="U38">PQ2nits((2055+65*W38)/(2055+31*65))</f>
        <v>7382.9315427441443</v>
      </c>
      <c r="V38" s="48">
        <f t="shared" si="0"/>
        <v>7382</v>
      </c>
      <c r="W38" s="49">
        <v>29</v>
      </c>
      <c r="X38" s="49" cm="1">
        <f t="array" ref="X38">ROUND(PQ2nits((20*$W38)/(2055+31*65)),3)</f>
        <v>0.86199999999999999</v>
      </c>
      <c r="Y38" s="49">
        <v>29</v>
      </c>
      <c r="Z38" s="49"/>
      <c r="AA38" s="49"/>
      <c r="AB38" s="49"/>
      <c r="AC38" s="49"/>
      <c r="AD38" s="49"/>
      <c r="AE38" s="49"/>
      <c r="AF38" s="49"/>
      <c r="AG38" s="49"/>
      <c r="AH38" s="54"/>
      <c r="AI38" s="24"/>
      <c r="AJ38" s="24"/>
      <c r="AK38" s="24"/>
      <c r="AL38" s="24"/>
    </row>
    <row r="39" spans="2:38" x14ac:dyDescent="0.2">
      <c r="U39" s="47" cm="1">
        <f t="array" ref="U39">PQ2nits((2055+65*W39)/(2055+31*65))</f>
        <v>8588.7301910481601</v>
      </c>
      <c r="V39" s="48">
        <f t="shared" si="0"/>
        <v>8588</v>
      </c>
      <c r="W39" s="49">
        <v>30</v>
      </c>
      <c r="X39" s="49" cm="1">
        <f t="array" ref="X39">ROUND(PQ2nits((20*$W39)/(2055+31*65)),3)</f>
        <v>0.95099999999999996</v>
      </c>
      <c r="Y39" s="49">
        <v>30</v>
      </c>
      <c r="Z39" s="49"/>
      <c r="AA39" s="49"/>
      <c r="AB39" s="49"/>
      <c r="AC39" s="49"/>
      <c r="AD39" s="49"/>
      <c r="AE39" s="49"/>
      <c r="AF39" s="49"/>
      <c r="AG39" s="49"/>
      <c r="AH39" s="54"/>
      <c r="AI39" s="24"/>
      <c r="AJ39" s="24"/>
      <c r="AK39" s="24"/>
      <c r="AL39" s="24"/>
    </row>
    <row r="40" spans="2:38" x14ac:dyDescent="0.2">
      <c r="U40" s="62" cm="1">
        <f t="array" ref="U40">PQ2nits((2055+65*W40)/(2055+31*65))</f>
        <v>10000</v>
      </c>
      <c r="V40" s="63">
        <f t="shared" si="0"/>
        <v>10000</v>
      </c>
      <c r="W40" s="64">
        <v>31</v>
      </c>
      <c r="X40" s="64" cm="1">
        <f t="array" ref="X40">ROUND(PQ2nits((20*$W40)/(2055+31*65)),3)</f>
        <v>1.048</v>
      </c>
      <c r="Y40" s="64">
        <v>31</v>
      </c>
      <c r="Z40" s="64"/>
      <c r="AA40" s="64"/>
      <c r="AB40" s="64"/>
      <c r="AC40" s="64"/>
      <c r="AD40" s="64"/>
      <c r="AE40" s="64"/>
      <c r="AF40" s="64"/>
      <c r="AG40" s="64"/>
      <c r="AH40" s="65"/>
      <c r="AI40" s="24"/>
      <c r="AJ40" s="24"/>
      <c r="AK40" s="24"/>
      <c r="AL40" s="24"/>
    </row>
    <row r="41" spans="2:38" x14ac:dyDescent="0.2"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</row>
    <row r="42" spans="2:38" x14ac:dyDescent="0.2"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</row>
    <row r="43" spans="2:38" ht="21" x14ac:dyDescent="0.25">
      <c r="B43" s="66" t="s">
        <v>60</v>
      </c>
      <c r="C43" s="66"/>
      <c r="D43" s="66"/>
      <c r="E43" s="66"/>
      <c r="F43" s="66"/>
      <c r="G43" s="66"/>
      <c r="H43" s="66"/>
      <c r="I43" s="66"/>
      <c r="J43" s="66"/>
      <c r="K43" s="66"/>
      <c r="L43" s="66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</row>
    <row r="44" spans="2:38" x14ac:dyDescent="0.2"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</row>
  </sheetData>
  <mergeCells count="10">
    <mergeCell ref="B9:E9"/>
    <mergeCell ref="F9:H9"/>
    <mergeCell ref="B43:L43"/>
    <mergeCell ref="R4:S4"/>
    <mergeCell ref="B4:E4"/>
    <mergeCell ref="F4:H4"/>
    <mergeCell ref="I4:K4"/>
    <mergeCell ref="L4:M4"/>
    <mergeCell ref="N4:O4"/>
    <mergeCell ref="P4:Q4"/>
  </mergeCells>
  <conditionalFormatting sqref="O6">
    <cfRule type="expression" dxfId="4" priority="5">
      <formula>$M$6="Supported"</formula>
    </cfRule>
  </conditionalFormatting>
  <conditionalFormatting sqref="O6">
    <cfRule type="expression" dxfId="3" priority="4" stopIfTrue="1">
      <formula>IF(AND($M$6="Supported",$O$6="Supported"),TRUE,FALSE)</formula>
    </cfRule>
  </conditionalFormatting>
  <conditionalFormatting sqref="H6">
    <cfRule type="expression" dxfId="2" priority="3">
      <formula>$D$6="Not Supported"</formula>
    </cfRule>
  </conditionalFormatting>
  <conditionalFormatting sqref="M6">
    <cfRule type="expression" dxfId="1" priority="2">
      <formula>$O$6="Supported"</formula>
    </cfRule>
  </conditionalFormatting>
  <conditionalFormatting sqref="M6">
    <cfRule type="expression" dxfId="0" priority="1" stopIfTrue="1">
      <formula>IF(AND($M$6="Supported",$O$6="Supported"),TRUE,FALSE)</formula>
    </cfRule>
  </conditionalFormatting>
  <dataValidations count="7">
    <dataValidation type="list" allowBlank="1" showInputMessage="1" showErrorMessage="1" sqref="O6 D6:E6 G6 M6" xr:uid="{E7FCCC43-4637-445F-AE34-EFD928004371}">
      <formula1>"Supported, Not Supported"</formula1>
    </dataValidation>
    <dataValidation type="list" allowBlank="1" showInputMessage="1" showErrorMessage="1" sqref="J2" xr:uid="{4BFAF659-B4B3-4FB7-855C-0097A7722E65}">
      <formula1>#REF!</formula1>
    </dataValidation>
    <dataValidation type="list" allowBlank="1" showInputMessage="1" showErrorMessage="1" sqref="H6" xr:uid="{C5F91FCF-655D-4EAD-9242-58470CE995A1}">
      <formula1>$AA$11:$AA$15</formula1>
    </dataValidation>
    <dataValidation type="list" allowBlank="1" showInputMessage="1" showErrorMessage="1" sqref="I6" xr:uid="{800C8849-A9C1-41BD-90F3-29A0D498CC6A}">
      <formula1>$V$11:$V$40</formula1>
    </dataValidation>
    <dataValidation type="list" allowBlank="1" showInputMessage="1" showErrorMessage="1" sqref="F6" xr:uid="{1A3D0F0E-939E-41E6-8E1E-E4C4C4336F4F}">
      <formula1>$X$11:$X$40</formula1>
    </dataValidation>
    <dataValidation type="list" allowBlank="1" showInputMessage="1" showErrorMessage="1" sqref="K6" xr:uid="{AF09E517-40B1-4323-AEC7-77A76C1E2C5A}">
      <formula1>$AA$18:$AA$21</formula1>
    </dataValidation>
    <dataValidation type="list" allowBlank="1" showInputMessage="1" showErrorMessage="1" sqref="M2" xr:uid="{C65662E9-EAB3-4929-8013-4A6C8F65C3D7}">
      <formula1>$AA$24:$AA$27</formula1>
    </dataValidation>
  </dataValidations>
  <pageMargins left="0.7" right="0.7" top="0.75" bottom="0.75" header="0.3" footer="0.3"/>
  <pageSetup orientation="portrait" horizontalDpi="0" verticalDpi="0" r:id="rId1"/>
  <ignoredErrors>
    <ignoredError sqref="F7" formula="1"/>
    <ignoredError sqref="L6 N6 P6:S6" formulaRange="1"/>
    <ignoredError sqref="B7:C7 AB11:AB14 AB18:AB21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VSVDB Payload Calculator</vt:lpstr>
      <vt:lpstr>HDR10Plus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Microsoft Office User</cp:lastModifiedBy>
  <dcterms:created xsi:type="dcterms:W3CDTF">2022-09-23T12:57:39Z</dcterms:created>
  <dcterms:modified xsi:type="dcterms:W3CDTF">2024-05-26T03:29:22Z</dcterms:modified>
</cp:coreProperties>
</file>